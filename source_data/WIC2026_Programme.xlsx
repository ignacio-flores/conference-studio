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fauvel\Dropbox\WIL_Com\Events\202606 World Inequality Conference\Programme\"/>
    </mc:Choice>
  </mc:AlternateContent>
  <xr:revisionPtr revIDLastSave="0" documentId="13_ncr:1_{ED0376B6-46C3-4DE7-A111-57148C619F19}" xr6:coauthVersionLast="36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Day 1 (4th June)" sheetId="1" r:id="rId1"/>
    <sheet name="Day 2 (5th June)" sheetId="3" r:id="rId2"/>
    <sheet name="Day 3 (6th June)" sheetId="4" r:id="rId3"/>
    <sheet name="PanelSessions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6" i="1" l="1"/>
  <c r="L6" i="4"/>
  <c r="L6" i="3"/>
  <c r="M6" i="1"/>
  <c r="M9" i="1" s="1"/>
  <c r="M10" i="1" s="1"/>
  <c r="M13" i="1" s="1"/>
  <c r="M15" i="1" s="1"/>
</calcChain>
</file>

<file path=xl/sharedStrings.xml><?xml version="1.0" encoding="utf-8"?>
<sst xmlns="http://schemas.openxmlformats.org/spreadsheetml/2006/main" count="364" uniqueCount="207">
  <si>
    <t>DAY 1: 4th JUNE (THURSDAY)</t>
  </si>
  <si>
    <t>Amphi</t>
  </si>
  <si>
    <t>R2-01</t>
  </si>
  <si>
    <t>R2-21</t>
  </si>
  <si>
    <t>R1-09</t>
  </si>
  <si>
    <t>R2-20</t>
  </si>
  <si>
    <t>R1-10</t>
  </si>
  <si>
    <t>R3-71</t>
  </si>
  <si>
    <t>Total Rooms</t>
  </si>
  <si>
    <t>Total Parallel Sessions</t>
  </si>
  <si>
    <t>9h30-10h</t>
  </si>
  <si>
    <t>Opening Session</t>
  </si>
  <si>
    <t>Welcome &amp; GJP Launch</t>
  </si>
  <si>
    <t>Papers Per Session</t>
  </si>
  <si>
    <t>10h-10h30</t>
  </si>
  <si>
    <t>Total Papers</t>
  </si>
  <si>
    <t>10h30-11h</t>
  </si>
  <si>
    <t>11h-11h30</t>
  </si>
  <si>
    <t>MORNING BREAK</t>
  </si>
  <si>
    <t>11h30-12h</t>
  </si>
  <si>
    <t>SESSION 1</t>
  </si>
  <si>
    <t>Panel: Degrowth</t>
  </si>
  <si>
    <t xml:space="preserve">Total Papers Capacity </t>
  </si>
  <si>
    <t>12h-12h30</t>
  </si>
  <si>
    <t>Including non-acceptance rate</t>
  </si>
  <si>
    <t>12h30-13h</t>
  </si>
  <si>
    <t>Already accepted</t>
  </si>
  <si>
    <t>13h-13h30</t>
  </si>
  <si>
    <t>LUNCH BREAK</t>
  </si>
  <si>
    <t>Qualitative papers (2 slots)</t>
  </si>
  <si>
    <t>13h30-14h</t>
  </si>
  <si>
    <t>Available spots</t>
  </si>
  <si>
    <t>14h-14h30</t>
  </si>
  <si>
    <t>SESSION 2</t>
  </si>
  <si>
    <t>Panel: Art, Apocalypse</t>
  </si>
  <si>
    <t>LSE III Session on IGM</t>
  </si>
  <si>
    <t>Total papers for review</t>
  </si>
  <si>
    <t>14h30-15h</t>
  </si>
  <si>
    <t>Acceptance rate</t>
  </si>
  <si>
    <t>15h-15h30</t>
  </si>
  <si>
    <t>Waitlist rate</t>
  </si>
  <si>
    <t>15h30-16h</t>
  </si>
  <si>
    <t>AFTERNOON BREAK</t>
  </si>
  <si>
    <t>16h-16h30</t>
  </si>
  <si>
    <t>SESSION 3</t>
  </si>
  <si>
    <t>Panel: Future of Billionaire Taxation</t>
  </si>
  <si>
    <t>16h30-17</t>
  </si>
  <si>
    <t>17h-17h30</t>
  </si>
  <si>
    <t>17h30-18h</t>
  </si>
  <si>
    <t>18h30-21h30</t>
  </si>
  <si>
    <t>CONFERENCE COCKTAIL &amp; DINNER</t>
  </si>
  <si>
    <t>DAY 2: 5th JUNE (FRIDAY)</t>
  </si>
  <si>
    <t>Panel: IPCC meets GJP</t>
  </si>
  <si>
    <t>Panel: Workplace Democracy &amp; Inequality Compression</t>
  </si>
  <si>
    <t>Inequality, Climate &amp; Economic Profession</t>
  </si>
  <si>
    <t>SESSION 4</t>
  </si>
  <si>
    <t>Panel: New International Order</t>
  </si>
  <si>
    <t>Panel: Energy Systems</t>
  </si>
  <si>
    <t>Panel: Class Conflict on Warming Planet</t>
  </si>
  <si>
    <t>Panel: End of Neoliberalism?</t>
  </si>
  <si>
    <t>CONFERENCE ENDS</t>
  </si>
  <si>
    <t>[OPTIONAL] SESSION 4</t>
  </si>
  <si>
    <t>S. No.</t>
  </si>
  <si>
    <t>Session Title</t>
  </si>
  <si>
    <t>Session Participants</t>
  </si>
  <si>
    <t>Email ID</t>
  </si>
  <si>
    <t>Date &amp; Time</t>
  </si>
  <si>
    <t>Status</t>
  </si>
  <si>
    <t>Gender</t>
  </si>
  <si>
    <t>Country</t>
  </si>
  <si>
    <t>Comment</t>
  </si>
  <si>
    <t>Art, Apocalypse and the Climate: Authors meet GJP</t>
  </si>
  <si>
    <t>Kim Stanley Robinson</t>
  </si>
  <si>
    <t>kimstanleyrobinson@gmail.com</t>
  </si>
  <si>
    <t>4th June (Thursday), 2-3.30pm</t>
  </si>
  <si>
    <t>Confirmed</t>
  </si>
  <si>
    <t>M</t>
  </si>
  <si>
    <t xml:space="preserve">American </t>
  </si>
  <si>
    <t>Arundhati Roy</t>
  </si>
  <si>
    <t>easywinterlight@gmail.com</t>
  </si>
  <si>
    <t>Invite sent</t>
  </si>
  <si>
    <t>F</t>
  </si>
  <si>
    <t>Indian</t>
  </si>
  <si>
    <t>Amitav Ghosh</t>
  </si>
  <si>
    <t>amitavghosh10@gmail.com</t>
  </si>
  <si>
    <t>Rejected</t>
  </si>
  <si>
    <t>Chimamanda Ngozi Adichie</t>
  </si>
  <si>
    <t>booking@chimamanda.com, manager@chimamanda.com</t>
  </si>
  <si>
    <t xml:space="preserve">Nigerian </t>
  </si>
  <si>
    <t>Thomas Piketty</t>
  </si>
  <si>
    <t>French</t>
  </si>
  <si>
    <t>The Future of Billionaire Taxation: California, Brazil, France and the World</t>
  </si>
  <si>
    <t>Emmanuel Saez</t>
  </si>
  <si>
    <t>esaez@berkeley.edu</t>
  </si>
  <si>
    <t>4th June (Thursday), 4-6pm</t>
  </si>
  <si>
    <t>Gabriel Zucman</t>
  </si>
  <si>
    <t>zucman@gmail.com</t>
  </si>
  <si>
    <t>TBD</t>
  </si>
  <si>
    <t>by EUTAX</t>
  </si>
  <si>
    <t>Rethinking Growth &amp; Structural Transformation: How much do we need to degrow to save the planet?</t>
  </si>
  <si>
    <t>Jason Hickel</t>
  </si>
  <si>
    <t>jasonhickel@gmail.com</t>
  </si>
  <si>
    <t>4th June (Thursday), 11.30am-1pm</t>
  </si>
  <si>
    <t>UK / Eswatini</t>
  </si>
  <si>
    <t>Tejal Kanitkar</t>
  </si>
  <si>
    <t>tejalk@nias.res.in</t>
  </si>
  <si>
    <t>Nick Stern</t>
  </si>
  <si>
    <t>n.stern@lse.ac.uk</t>
  </si>
  <si>
    <t>Ottmar Edenhofer</t>
  </si>
  <si>
    <t>ottmar.edenhofer@pik-potsdam.de</t>
  </si>
  <si>
    <t>German</t>
  </si>
  <si>
    <t xml:space="preserve">"pro growth" [?] </t>
  </si>
  <si>
    <t>GJP Member [TBD]</t>
  </si>
  <si>
    <t>Inequality, Climate and the Economics Profession: Do we see a turning point?</t>
  </si>
  <si>
    <t>Esther Duflo</t>
  </si>
  <si>
    <t xml:space="preserve">eduflo@mit.edu </t>
  </si>
  <si>
    <t>5th June (Friday), 2pm-3.30pm</t>
  </si>
  <si>
    <t>Branko Milanović</t>
  </si>
  <si>
    <t>bmilanovic@gc.cuny.edu</t>
  </si>
  <si>
    <t>Serbian / American</t>
  </si>
  <si>
    <t>confirmed informally, which day?</t>
  </si>
  <si>
    <t>Joseph Stiglitz</t>
  </si>
  <si>
    <t>jes322@columbia.edu</t>
  </si>
  <si>
    <t>Towards a New International Order: Do we need a Bretton Woods reset to save the planet?</t>
  </si>
  <si>
    <t>David Adler</t>
  </si>
  <si>
    <t>davidrkadler@gmail.com</t>
  </si>
  <si>
    <t>5th June (Friday), 4pm-6pm</t>
  </si>
  <si>
    <t>American / French / Australia</t>
  </si>
  <si>
    <t>Jayati Ghosh</t>
  </si>
  <si>
    <t>jayatijnu@gmail.com</t>
  </si>
  <si>
    <t>Adam Tooze</t>
  </si>
  <si>
    <t>adam.tooze@columbia.edu</t>
  </si>
  <si>
    <t>American</t>
  </si>
  <si>
    <t>Quinn Slobdian</t>
  </si>
  <si>
    <t>qs@bu.edu</t>
  </si>
  <si>
    <t>Ha-Joon Chang</t>
  </si>
  <si>
    <t>hajoonchang@googlemail.com</t>
  </si>
  <si>
    <t>Korean</t>
  </si>
  <si>
    <t>Gaston / Paula</t>
  </si>
  <si>
    <t>Energy, Inequality, and Property: Changing the Governance of Energy Systems?</t>
  </si>
  <si>
    <t>Lucas Chancel</t>
  </si>
  <si>
    <t>6th June (Saturday), 9.30am-11am</t>
  </si>
  <si>
    <t>Julia Steinberger</t>
  </si>
  <si>
    <t>Julia.Steinberger@unil.ch</t>
  </si>
  <si>
    <t>TBD / Trade Untion Members?</t>
  </si>
  <si>
    <t>Celine Guivarch</t>
  </si>
  <si>
    <t>celine.guivarch@enpc.fr</t>
  </si>
  <si>
    <t>5th June (Friday), 9.30am-11am</t>
  </si>
  <si>
    <t>Jofre Carnicer</t>
  </si>
  <si>
    <t>jofre.carnicer@ub.edu</t>
  </si>
  <si>
    <t>Johan Rockström</t>
  </si>
  <si>
    <t>director@pik-potsdam.de</t>
  </si>
  <si>
    <t>Power at Work: Workplace Democracy &amp; Compression of the income and Wealth scale</t>
  </si>
  <si>
    <t>Ingrid Robyens</t>
  </si>
  <si>
    <t>i.a.m.robeyns@uu.nl</t>
  </si>
  <si>
    <t>5th June (Friday), 11.30am-1pm</t>
  </si>
  <si>
    <t>Belgian / Dutch</t>
  </si>
  <si>
    <t>Mélanie Plouviez</t>
  </si>
  <si>
    <t>Melanie.PLOUVIEZ@univ-cotedazur.fr</t>
  </si>
  <si>
    <t>Isabelle Ferreras</t>
  </si>
  <si>
    <t>isabelle.ferreras@uclouvain.be</t>
  </si>
  <si>
    <t>Belgian</t>
  </si>
  <si>
    <t>Jean Drèze</t>
  </si>
  <si>
    <t>jaandaraz@riseup.net</t>
  </si>
  <si>
    <t>Indian / Belgian</t>
  </si>
  <si>
    <t>Climate Justice &amp; Climate Catastrophes: Is this the end to Neoliberalism?</t>
  </si>
  <si>
    <t>George Monbiot</t>
  </si>
  <si>
    <t>george@monbiot.info</t>
  </si>
  <si>
    <t>6th June (Saturday), 2pm - 3.30pm</t>
  </si>
  <si>
    <t>English</t>
  </si>
  <si>
    <t>Mariana Mazzucato</t>
  </si>
  <si>
    <t>M.Mazzucato@ucl.ac.uk</t>
  </si>
  <si>
    <t>Italian / American</t>
  </si>
  <si>
    <t>Pavlina Tcherneva</t>
  </si>
  <si>
    <t>tchernev@bard.edu</t>
  </si>
  <si>
    <t>American / Bulgarian</t>
  </si>
  <si>
    <t>Lea Ypi</t>
  </si>
  <si>
    <t>l.l.ypi@lse.ac.uk</t>
  </si>
  <si>
    <t>Albania</t>
  </si>
  <si>
    <t>Class Conflict on a Warming Planet: the Global Justice Project, the Global Left and the New International Order</t>
  </si>
  <si>
    <t>Julia Cagé</t>
  </si>
  <si>
    <t>julia.cage@sciencespo.fr</t>
  </si>
  <si>
    <t>6th June (Saturday), 11.30am - 1pm</t>
  </si>
  <si>
    <t>Dena Freeman</t>
  </si>
  <si>
    <t>D.G.Freeman@lse.ac.uk</t>
  </si>
  <si>
    <t>English ?</t>
  </si>
  <si>
    <t>Patrick Robinson</t>
  </si>
  <si>
    <t>p.robinson@icj-cij.org</t>
  </si>
  <si>
    <t>Don Kalb</t>
  </si>
  <si>
    <t>don.kalb@uib.no</t>
  </si>
  <si>
    <t>Global South Activist [TBD]</t>
  </si>
  <si>
    <t>Olivier De Schutter</t>
  </si>
  <si>
    <t>5th and 6th June works well for him</t>
  </si>
  <si>
    <t>Thomas Melonio</t>
  </si>
  <si>
    <t>AFD</t>
  </si>
  <si>
    <t>tbc</t>
  </si>
  <si>
    <t>DAY 3: 6th JUNE (FRIDAY)</t>
  </si>
  <si>
    <t>Find someone else to invite, ideally Europe based</t>
  </si>
  <si>
    <t>Already contacted by Thomas, reminder sent by Anmol on 3 March</t>
  </si>
  <si>
    <t>Kate Raworth?</t>
  </si>
  <si>
    <t>Thomas Piketty/Lucas Chancel</t>
  </si>
  <si>
    <t>Leonce Ndikumana</t>
  </si>
  <si>
    <t>IPCC meets GJP: Sustainable Scenarios for the Future</t>
  </si>
  <si>
    <t>Find one more person ideally</t>
  </si>
  <si>
    <t>Ana Coote</t>
  </si>
  <si>
    <t>Potentially move to 6th to accommodate Mariana Mazzucato</t>
  </si>
  <si>
    <t>Grace Blakely?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</si>
</sst>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9C5700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4">
    <xf numFmtId="0" fontId="0" fillId="0" borderId="0"/>
    <xf numFmtId="0" fontId="2" fillId="0" borderId="0"/>
    <xf numFmtId="0" fontId="7" fillId="7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140">
    <xf numFmtId="0" fontId="0" fillId="0" borderId="0" xfId="0"/>
    <xf numFmtId="0" fontId="2" fillId="0" borderId="12" xfId="1" applyBorder="1"/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8" xfId="0" applyBorder="1"/>
    <xf numFmtId="0" fontId="0" fillId="0" borderId="10" xfId="0" applyBorder="1"/>
    <xf numFmtId="0" fontId="0" fillId="0" borderId="7" xfId="0" applyBorder="1"/>
    <xf numFmtId="0" fontId="0" fillId="0" borderId="9" xfId="0" applyBorder="1"/>
    <xf numFmtId="0" fontId="0" fillId="0" borderId="14" xfId="0" applyBorder="1"/>
    <xf numFmtId="0" fontId="2" fillId="0" borderId="0" xfId="1"/>
    <xf numFmtId="0" fontId="2" fillId="0" borderId="1" xfId="1" applyBorder="1"/>
    <xf numFmtId="0" fontId="2" fillId="0" borderId="2" xfId="1" applyBorder="1"/>
    <xf numFmtId="0" fontId="2" fillId="0" borderId="3" xfId="1" applyBorder="1"/>
    <xf numFmtId="0" fontId="2" fillId="0" borderId="0" xfId="1" applyAlignment="1">
      <alignment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2" xfId="0" applyFill="1" applyBorder="1"/>
    <xf numFmtId="0" fontId="1" fillId="4" borderId="3" xfId="0" applyFont="1" applyFill="1" applyBorder="1" applyAlignment="1">
      <alignment horizontal="center"/>
    </xf>
    <xf numFmtId="0" fontId="0" fillId="4" borderId="3" xfId="0" applyFill="1" applyBorder="1"/>
    <xf numFmtId="0" fontId="3" fillId="0" borderId="14" xfId="0" applyFont="1" applyBorder="1"/>
    <xf numFmtId="0" fontId="3" fillId="0" borderId="9" xfId="0" applyFont="1" applyBorder="1"/>
    <xf numFmtId="0" fontId="3" fillId="0" borderId="0" xfId="0" applyFont="1"/>
    <xf numFmtId="0" fontId="3" fillId="0" borderId="10" xfId="0" applyFont="1" applyBorder="1"/>
    <xf numFmtId="0" fontId="3" fillId="0" borderId="15" xfId="0" applyFont="1" applyBorder="1"/>
    <xf numFmtId="0" fontId="3" fillId="0" borderId="11" xfId="0" applyFont="1" applyBorder="1"/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2" fillId="5" borderId="2" xfId="1" applyFill="1" applyBorder="1"/>
    <xf numFmtId="0" fontId="0" fillId="5" borderId="14" xfId="0" applyFill="1" applyBorder="1"/>
    <xf numFmtId="0" fontId="0" fillId="5" borderId="9" xfId="0" applyFill="1" applyBorder="1"/>
    <xf numFmtId="0" fontId="0" fillId="5" borderId="0" xfId="0" applyFill="1"/>
    <xf numFmtId="0" fontId="0" fillId="5" borderId="10" xfId="0" applyFill="1" applyBorder="1"/>
    <xf numFmtId="0" fontId="2" fillId="5" borderId="3" xfId="1" applyFill="1" applyBorder="1"/>
    <xf numFmtId="0" fontId="0" fillId="5" borderId="15" xfId="0" applyFill="1" applyBorder="1"/>
    <xf numFmtId="0" fontId="0" fillId="5" borderId="11" xfId="0" applyFill="1" applyBorder="1"/>
    <xf numFmtId="0" fontId="6" fillId="4" borderId="1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4" borderId="11" xfId="0" applyNumberFormat="1" applyFill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5" fillId="0" borderId="2" xfId="0" applyFont="1" applyBorder="1"/>
    <xf numFmtId="0" fontId="5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8" fillId="0" borderId="2" xfId="0" applyFont="1" applyBorder="1" applyAlignment="1">
      <alignment horizontal="left"/>
    </xf>
    <xf numFmtId="0" fontId="9" fillId="8" borderId="2" xfId="0" applyFont="1" applyFill="1" applyBorder="1" applyAlignment="1">
      <alignment horizontal="left"/>
    </xf>
    <xf numFmtId="0" fontId="6" fillId="4" borderId="12" xfId="0" applyFont="1" applyFill="1" applyBorder="1" applyAlignment="1">
      <alignment horizontal="center" wrapText="1"/>
    </xf>
    <xf numFmtId="0" fontId="5" fillId="0" borderId="0" xfId="0" applyFont="1"/>
    <xf numFmtId="0" fontId="10" fillId="8" borderId="2" xfId="0" applyFont="1" applyFill="1" applyBorder="1"/>
    <xf numFmtId="0" fontId="12" fillId="0" borderId="2" xfId="3" applyBorder="1" applyAlignment="1">
      <alignment horizontal="left"/>
    </xf>
    <xf numFmtId="0" fontId="12" fillId="0" borderId="0" xfId="3"/>
    <xf numFmtId="0" fontId="12" fillId="0" borderId="1" xfId="3" applyBorder="1" applyAlignment="1">
      <alignment horizontal="left" vertical="center"/>
    </xf>
    <xf numFmtId="0" fontId="12" fillId="0" borderId="2" xfId="3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7" fillId="7" borderId="2" xfId="2" applyBorder="1" applyAlignment="1">
      <alignment horizontal="center" vertical="center"/>
    </xf>
    <xf numFmtId="0" fontId="7" fillId="7" borderId="3" xfId="2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0" fillId="3" borderId="15" xfId="0" applyFill="1" applyBorder="1"/>
    <xf numFmtId="0" fontId="0" fillId="0" borderId="14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1" fillId="6" borderId="1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4">
    <cellStyle name="Lien hypertexte" xfId="3" builtinId="8"/>
    <cellStyle name="Neutre" xfId="2" builtinId="28"/>
    <cellStyle name="Normal" xfId="0" builtinId="0"/>
    <cellStyle name="Normal 2" xfId="1" xr:uid="{00000000-0005-0000-0000-000002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mailto:n.stern@lse.ac.uk" TargetMode="External"/><Relationship Id="rId7" Type="http://schemas.openxmlformats.org/officeDocument/2006/relationships/hyperlink" Target="mailto:bmilanovic@gc.cuny.edu" TargetMode="External"/><Relationship Id="rId2" Type="http://schemas.openxmlformats.org/officeDocument/2006/relationships/hyperlink" Target="mailto:easywinterlight@gmail.com" TargetMode="External"/><Relationship Id="rId1" Type="http://schemas.openxmlformats.org/officeDocument/2006/relationships/hyperlink" Target="mailto:kimstanleyrobinson@gmail.com" TargetMode="External"/><Relationship Id="rId6" Type="http://schemas.openxmlformats.org/officeDocument/2006/relationships/hyperlink" Target="mailto:ottmar.edenhofer@pik-potsdam.de" TargetMode="External"/><Relationship Id="rId5" Type="http://schemas.openxmlformats.org/officeDocument/2006/relationships/hyperlink" Target="mailto:tejalk@nias.res.in" TargetMode="External"/><Relationship Id="rId4" Type="http://schemas.openxmlformats.org/officeDocument/2006/relationships/hyperlink" Target="mailto:jasonhick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4"/>
  <sheetViews>
    <sheetView zoomScale="110" zoomScaleNormal="11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33" sqref="D33"/>
    </sheetView>
  </sheetViews>
  <sheetFormatPr baseColWidth="10" defaultColWidth="8.88671875" defaultRowHeight="14.4" x14ac:dyDescent="0.3"/>
  <cols>
    <col min="1" max="1" width="2.6640625" customWidth="1"/>
    <col min="2" max="2" width="12.44140625" bestFit="1" customWidth="1"/>
    <col min="3" max="3" width="11.88671875" customWidth="1"/>
    <col min="4" max="4" width="16.109375" customWidth="1"/>
    <col min="5" max="10" width="11.109375" customWidth="1"/>
    <col min="12" max="12" width="23.88671875" customWidth="1"/>
  </cols>
  <sheetData>
    <row r="1" spans="2:14" ht="15" thickBot="1" x14ac:dyDescent="0.35"/>
    <row r="2" spans="2:14" ht="15" thickBot="1" x14ac:dyDescent="0.35">
      <c r="B2" s="86" t="s">
        <v>0</v>
      </c>
      <c r="C2" s="87"/>
      <c r="D2" s="87"/>
      <c r="E2" s="87"/>
      <c r="F2" s="87"/>
      <c r="G2" s="87"/>
      <c r="H2" s="87"/>
      <c r="I2" s="87"/>
      <c r="J2" s="88"/>
    </row>
    <row r="3" spans="2:14" x14ac:dyDescent="0.3">
      <c r="B3" s="9"/>
      <c r="D3" s="4" t="s">
        <v>1</v>
      </c>
      <c r="E3" s="81" t="s">
        <v>2</v>
      </c>
      <c r="F3" s="81" t="s">
        <v>3</v>
      </c>
      <c r="G3" s="81" t="s">
        <v>4</v>
      </c>
      <c r="H3" s="81" t="s">
        <v>5</v>
      </c>
      <c r="I3" s="81" t="s">
        <v>6</v>
      </c>
      <c r="J3" s="21" t="s">
        <v>7</v>
      </c>
      <c r="L3" s="22" t="s">
        <v>8</v>
      </c>
      <c r="M3" s="32">
        <v>6</v>
      </c>
    </row>
    <row r="4" spans="2:14" ht="15" thickBot="1" x14ac:dyDescent="0.35">
      <c r="B4" s="7"/>
      <c r="C4" s="6"/>
      <c r="D4" s="2">
        <v>280</v>
      </c>
      <c r="E4" s="19">
        <v>80</v>
      </c>
      <c r="F4" s="19">
        <v>72</v>
      </c>
      <c r="G4" s="19">
        <v>50</v>
      </c>
      <c r="H4" s="19">
        <v>30</v>
      </c>
      <c r="I4" s="19">
        <v>16</v>
      </c>
      <c r="J4" s="20">
        <v>12</v>
      </c>
      <c r="L4" s="23" t="s">
        <v>9</v>
      </c>
      <c r="M4" s="33">
        <v>3</v>
      </c>
    </row>
    <row r="5" spans="2:14" ht="16.2" thickBot="1" x14ac:dyDescent="0.35">
      <c r="B5" s="13" t="s">
        <v>10</v>
      </c>
      <c r="C5" s="101" t="s">
        <v>11</v>
      </c>
      <c r="D5" s="89" t="s">
        <v>12</v>
      </c>
      <c r="E5" s="92"/>
      <c r="F5" s="92"/>
      <c r="G5" s="92"/>
      <c r="H5" s="92"/>
      <c r="I5" s="92"/>
      <c r="J5" s="93"/>
      <c r="L5" s="25" t="s">
        <v>13</v>
      </c>
      <c r="M5" s="54">
        <v>4.3333333329999997</v>
      </c>
    </row>
    <row r="6" spans="2:14" ht="16.2" thickBot="1" x14ac:dyDescent="0.35">
      <c r="B6" s="14" t="s">
        <v>14</v>
      </c>
      <c r="C6" s="102"/>
      <c r="D6" s="90"/>
      <c r="E6" s="94"/>
      <c r="F6" s="94"/>
      <c r="G6" s="94"/>
      <c r="H6" s="94"/>
      <c r="I6" s="94"/>
      <c r="J6" s="95"/>
      <c r="L6" s="24" t="s">
        <v>15</v>
      </c>
      <c r="M6" s="34">
        <f>M3*M4*M5</f>
        <v>77.999999993999992</v>
      </c>
    </row>
    <row r="7" spans="2:14" ht="16.2" thickBot="1" x14ac:dyDescent="0.35">
      <c r="B7" s="15" t="s">
        <v>16</v>
      </c>
      <c r="C7" s="103"/>
      <c r="D7" s="91"/>
      <c r="E7" s="96"/>
      <c r="F7" s="96"/>
      <c r="G7" s="96"/>
      <c r="H7" s="96"/>
      <c r="I7" s="96"/>
      <c r="J7" s="97"/>
    </row>
    <row r="8" spans="2:14" ht="16.2" thickBot="1" x14ac:dyDescent="0.35">
      <c r="B8" s="1" t="s">
        <v>17</v>
      </c>
      <c r="C8" s="87" t="s">
        <v>18</v>
      </c>
      <c r="D8" s="87"/>
      <c r="E8" s="87"/>
      <c r="F8" s="87"/>
      <c r="G8" s="87"/>
      <c r="H8" s="87"/>
      <c r="I8" s="87"/>
      <c r="J8" s="88"/>
    </row>
    <row r="9" spans="2:14" ht="15.6" x14ac:dyDescent="0.3">
      <c r="B9" s="13" t="s">
        <v>19</v>
      </c>
      <c r="C9" s="98" t="s">
        <v>20</v>
      </c>
      <c r="D9" s="110" t="s">
        <v>21</v>
      </c>
      <c r="E9" s="11"/>
      <c r="F9" s="11"/>
      <c r="G9" s="11"/>
      <c r="H9" s="11"/>
      <c r="I9" s="11"/>
      <c r="J9" s="10"/>
      <c r="L9" t="s">
        <v>22</v>
      </c>
      <c r="M9" s="17">
        <f>M6+'Day 2 (5th June)'!L6+'Day 3 (6th June)'!L6</f>
        <v>222.99999999400001</v>
      </c>
    </row>
    <row r="10" spans="2:14" ht="15.6" x14ac:dyDescent="0.3">
      <c r="B10" s="14" t="s">
        <v>23</v>
      </c>
      <c r="C10" s="99"/>
      <c r="D10" s="111"/>
      <c r="J10" s="8"/>
      <c r="L10" t="s">
        <v>24</v>
      </c>
      <c r="M10" s="52">
        <f>M9+0.15*M9</f>
        <v>256.44999999309999</v>
      </c>
    </row>
    <row r="11" spans="2:14" ht="16.2" thickBot="1" x14ac:dyDescent="0.35">
      <c r="B11" s="15" t="s">
        <v>25</v>
      </c>
      <c r="C11" s="100"/>
      <c r="D11" s="112"/>
      <c r="E11" s="6"/>
      <c r="F11" s="6"/>
      <c r="G11" s="80"/>
      <c r="H11" s="6"/>
      <c r="I11" s="6"/>
      <c r="J11" s="5"/>
      <c r="L11" t="s">
        <v>26</v>
      </c>
      <c r="M11" s="17">
        <v>60</v>
      </c>
      <c r="N11" s="51"/>
    </row>
    <row r="12" spans="2:14" ht="15.6" x14ac:dyDescent="0.3">
      <c r="B12" s="14" t="s">
        <v>27</v>
      </c>
      <c r="C12" s="104" t="s">
        <v>28</v>
      </c>
      <c r="D12" s="105"/>
      <c r="E12" s="105"/>
      <c r="F12" s="105"/>
      <c r="G12" s="105"/>
      <c r="H12" s="105"/>
      <c r="I12" s="105"/>
      <c r="J12" s="106"/>
      <c r="L12" t="s">
        <v>29</v>
      </c>
      <c r="M12" s="17">
        <v>8</v>
      </c>
    </row>
    <row r="13" spans="2:14" ht="16.2" thickBot="1" x14ac:dyDescent="0.35">
      <c r="B13" s="14" t="s">
        <v>30</v>
      </c>
      <c r="C13" s="107"/>
      <c r="D13" s="108"/>
      <c r="E13" s="108"/>
      <c r="F13" s="108"/>
      <c r="G13" s="108"/>
      <c r="H13" s="108"/>
      <c r="I13" s="108"/>
      <c r="J13" s="109"/>
      <c r="L13" t="s">
        <v>31</v>
      </c>
      <c r="M13" s="52">
        <f>M10-M11-M12</f>
        <v>188.44999999309999</v>
      </c>
    </row>
    <row r="14" spans="2:14" ht="15.9" customHeight="1" x14ac:dyDescent="0.3">
      <c r="B14" s="14" t="s">
        <v>32</v>
      </c>
      <c r="C14" s="98" t="s">
        <v>33</v>
      </c>
      <c r="D14" s="110" t="s">
        <v>34</v>
      </c>
      <c r="E14" s="113" t="s">
        <v>35</v>
      </c>
      <c r="F14" s="11"/>
      <c r="G14" s="11"/>
      <c r="H14" s="11"/>
      <c r="I14" s="11"/>
      <c r="J14" s="10"/>
      <c r="L14" t="s">
        <v>36</v>
      </c>
      <c r="M14" s="17">
        <v>656</v>
      </c>
    </row>
    <row r="15" spans="2:14" ht="15.6" x14ac:dyDescent="0.3">
      <c r="B15" s="14" t="s">
        <v>37</v>
      </c>
      <c r="C15" s="99"/>
      <c r="D15" s="111"/>
      <c r="E15" s="114"/>
      <c r="J15" s="8"/>
      <c r="L15" t="s">
        <v>38</v>
      </c>
      <c r="M15" s="53">
        <f>M13/M14</f>
        <v>0.28727134145289634</v>
      </c>
    </row>
    <row r="16" spans="2:14" ht="16.2" thickBot="1" x14ac:dyDescent="0.35">
      <c r="B16" s="14" t="s">
        <v>39</v>
      </c>
      <c r="C16" s="100"/>
      <c r="D16" s="112"/>
      <c r="E16" s="115"/>
      <c r="F16" s="6"/>
      <c r="G16" s="6"/>
      <c r="H16" s="6"/>
      <c r="I16" s="6"/>
      <c r="J16" s="5"/>
      <c r="L16" t="s">
        <v>40</v>
      </c>
      <c r="M16" s="53">
        <f>50/M14</f>
        <v>7.621951219512195E-2</v>
      </c>
    </row>
    <row r="17" spans="2:10" ht="16.2" thickBot="1" x14ac:dyDescent="0.35">
      <c r="B17" s="14" t="s">
        <v>41</v>
      </c>
      <c r="C17" s="86" t="s">
        <v>42</v>
      </c>
      <c r="D17" s="87"/>
      <c r="E17" s="87"/>
      <c r="F17" s="87"/>
      <c r="G17" s="87"/>
      <c r="H17" s="87"/>
      <c r="I17" s="87"/>
      <c r="J17" s="88"/>
    </row>
    <row r="18" spans="2:10" ht="15.6" x14ac:dyDescent="0.3">
      <c r="B18" s="14" t="s">
        <v>43</v>
      </c>
      <c r="C18" s="98" t="s">
        <v>44</v>
      </c>
      <c r="D18" s="89" t="s">
        <v>45</v>
      </c>
      <c r="E18" s="11"/>
      <c r="F18" s="11"/>
      <c r="G18" s="11"/>
      <c r="H18" s="11"/>
      <c r="I18" s="11"/>
      <c r="J18" s="10"/>
    </row>
    <row r="19" spans="2:10" ht="15.6" x14ac:dyDescent="0.3">
      <c r="B19" s="14" t="s">
        <v>46</v>
      </c>
      <c r="C19" s="99"/>
      <c r="D19" s="90"/>
      <c r="J19" s="8"/>
    </row>
    <row r="20" spans="2:10" ht="15.6" x14ac:dyDescent="0.3">
      <c r="B20" s="14" t="s">
        <v>47</v>
      </c>
      <c r="C20" s="99"/>
      <c r="D20" s="90"/>
      <c r="J20" s="8"/>
    </row>
    <row r="21" spans="2:10" ht="16.2" thickBot="1" x14ac:dyDescent="0.35">
      <c r="B21" s="15" t="s">
        <v>48</v>
      </c>
      <c r="C21" s="100"/>
      <c r="D21" s="91"/>
      <c r="E21" s="6"/>
      <c r="F21" s="6"/>
      <c r="G21" s="6"/>
      <c r="H21" s="6"/>
      <c r="I21" s="6"/>
      <c r="J21" s="5"/>
    </row>
    <row r="22" spans="2:10" ht="16.2" thickBot="1" x14ac:dyDescent="0.35">
      <c r="B22" s="1" t="s">
        <v>49</v>
      </c>
      <c r="C22" s="86" t="s">
        <v>50</v>
      </c>
      <c r="D22" s="87"/>
      <c r="E22" s="87"/>
      <c r="F22" s="87"/>
      <c r="G22" s="87"/>
      <c r="H22" s="87"/>
      <c r="I22" s="87"/>
      <c r="J22" s="88"/>
    </row>
    <row r="23" spans="2:10" ht="15.6" x14ac:dyDescent="0.3">
      <c r="B23" s="12"/>
      <c r="C23" s="85"/>
      <c r="D23" s="85"/>
      <c r="E23" s="85"/>
      <c r="F23" s="85"/>
      <c r="G23" s="85"/>
      <c r="H23" s="85"/>
      <c r="I23" s="85"/>
      <c r="J23" s="85"/>
    </row>
    <row r="24" spans="2:10" ht="15.6" x14ac:dyDescent="0.3">
      <c r="B24" s="16"/>
    </row>
  </sheetData>
  <mergeCells count="16">
    <mergeCell ref="C23:J23"/>
    <mergeCell ref="B2:J2"/>
    <mergeCell ref="D5:D7"/>
    <mergeCell ref="E5:J7"/>
    <mergeCell ref="C14:C16"/>
    <mergeCell ref="C17:J17"/>
    <mergeCell ref="C18:C21"/>
    <mergeCell ref="C22:J22"/>
    <mergeCell ref="C5:C7"/>
    <mergeCell ref="C8:J8"/>
    <mergeCell ref="C9:C11"/>
    <mergeCell ref="C12:J13"/>
    <mergeCell ref="D18:D21"/>
    <mergeCell ref="D14:D16"/>
    <mergeCell ref="D9:D11"/>
    <mergeCell ref="E14:E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23"/>
  <sheetViews>
    <sheetView zoomScale="130" zoomScaleNormal="130" workbookViewId="0">
      <pane xSplit="3" ySplit="4" topLeftCell="D11" activePane="bottomRight" state="frozen"/>
      <selection pane="topRight" activeCell="D1" sqref="D1"/>
      <selection pane="bottomLeft" activeCell="A5" sqref="A5"/>
      <selection pane="bottomRight" activeCell="D9" sqref="D9:D11"/>
    </sheetView>
  </sheetViews>
  <sheetFormatPr baseColWidth="10" defaultColWidth="8.88671875" defaultRowHeight="14.4" x14ac:dyDescent="0.3"/>
  <cols>
    <col min="2" max="2" width="12.44140625" bestFit="1" customWidth="1"/>
    <col min="3" max="3" width="11.88671875" customWidth="1"/>
    <col min="4" max="4" width="18.88671875" customWidth="1"/>
    <col min="5" max="9" width="11.109375" customWidth="1"/>
    <col min="11" max="11" width="19.109375" bestFit="1" customWidth="1"/>
  </cols>
  <sheetData>
    <row r="1" spans="2:12" ht="15" thickBot="1" x14ac:dyDescent="0.35"/>
    <row r="2" spans="2:12" ht="15" thickBot="1" x14ac:dyDescent="0.35">
      <c r="B2" s="86" t="s">
        <v>51</v>
      </c>
      <c r="C2" s="87"/>
      <c r="D2" s="87"/>
      <c r="E2" s="87"/>
      <c r="F2" s="87"/>
      <c r="G2" s="87"/>
      <c r="H2" s="87"/>
      <c r="I2" s="88"/>
    </row>
    <row r="3" spans="2:12" x14ac:dyDescent="0.3">
      <c r="B3" s="9"/>
      <c r="D3" s="4" t="s">
        <v>1</v>
      </c>
      <c r="E3" s="81" t="s">
        <v>2</v>
      </c>
      <c r="F3" s="81" t="s">
        <v>3</v>
      </c>
      <c r="G3" s="81" t="s">
        <v>4</v>
      </c>
      <c r="H3" s="81" t="s">
        <v>6</v>
      </c>
      <c r="I3" s="21" t="s">
        <v>7</v>
      </c>
      <c r="K3" s="22" t="s">
        <v>8</v>
      </c>
      <c r="L3" s="32">
        <v>5</v>
      </c>
    </row>
    <row r="4" spans="2:12" ht="15" thickBot="1" x14ac:dyDescent="0.35">
      <c r="B4" s="7"/>
      <c r="C4" s="6"/>
      <c r="D4" s="3">
        <v>280</v>
      </c>
      <c r="E4" s="17">
        <v>80</v>
      </c>
      <c r="F4" s="17">
        <v>72</v>
      </c>
      <c r="G4" s="17">
        <v>50</v>
      </c>
      <c r="H4" s="17">
        <v>16</v>
      </c>
      <c r="I4" s="18">
        <v>12</v>
      </c>
      <c r="K4" s="23" t="s">
        <v>9</v>
      </c>
      <c r="L4" s="33">
        <v>4</v>
      </c>
    </row>
    <row r="5" spans="2:12" ht="15.6" customHeight="1" thickBot="1" x14ac:dyDescent="0.35">
      <c r="B5" s="13" t="s">
        <v>10</v>
      </c>
      <c r="C5" s="116" t="s">
        <v>20</v>
      </c>
      <c r="D5" s="110" t="s">
        <v>52</v>
      </c>
      <c r="E5" s="26"/>
      <c r="F5" s="26"/>
      <c r="G5" s="26"/>
      <c r="H5" s="26"/>
      <c r="I5" s="27"/>
      <c r="K5" s="25" t="s">
        <v>13</v>
      </c>
      <c r="L5" s="34">
        <v>4.25</v>
      </c>
    </row>
    <row r="6" spans="2:12" ht="16.2" thickBot="1" x14ac:dyDescent="0.35">
      <c r="B6" s="14" t="s">
        <v>14</v>
      </c>
      <c r="C6" s="117"/>
      <c r="D6" s="111"/>
      <c r="E6" s="28"/>
      <c r="F6" s="28"/>
      <c r="G6" s="28"/>
      <c r="H6" s="28"/>
      <c r="I6" s="29"/>
      <c r="K6" s="24" t="s">
        <v>15</v>
      </c>
      <c r="L6" s="34">
        <f>L3*L4*L5</f>
        <v>85</v>
      </c>
    </row>
    <row r="7" spans="2:12" ht="16.2" thickBot="1" x14ac:dyDescent="0.35">
      <c r="B7" s="15" t="s">
        <v>16</v>
      </c>
      <c r="C7" s="118"/>
      <c r="D7" s="124"/>
      <c r="E7" s="30"/>
      <c r="F7" s="30"/>
      <c r="G7" s="30"/>
      <c r="H7" s="30"/>
      <c r="I7" s="31"/>
    </row>
    <row r="8" spans="2:12" ht="16.2" thickBot="1" x14ac:dyDescent="0.35">
      <c r="B8" s="1" t="s">
        <v>17</v>
      </c>
      <c r="C8" s="87" t="s">
        <v>18</v>
      </c>
      <c r="D8" s="119"/>
      <c r="E8" s="119"/>
      <c r="F8" s="119"/>
      <c r="G8" s="119"/>
      <c r="H8" s="119"/>
      <c r="I8" s="120"/>
    </row>
    <row r="9" spans="2:12" ht="15.9" customHeight="1" x14ac:dyDescent="0.3">
      <c r="B9" s="13" t="s">
        <v>19</v>
      </c>
      <c r="C9" s="98" t="s">
        <v>33</v>
      </c>
      <c r="D9" s="121" t="s">
        <v>53</v>
      </c>
      <c r="E9" s="11"/>
      <c r="F9" s="11"/>
      <c r="G9" s="11"/>
      <c r="H9" s="11"/>
      <c r="I9" s="10"/>
    </row>
    <row r="10" spans="2:12" ht="15.6" x14ac:dyDescent="0.3">
      <c r="B10" s="14" t="s">
        <v>23</v>
      </c>
      <c r="C10" s="99"/>
      <c r="D10" s="122"/>
      <c r="I10" s="8"/>
    </row>
    <row r="11" spans="2:12" ht="16.2" thickBot="1" x14ac:dyDescent="0.35">
      <c r="B11" s="15" t="s">
        <v>25</v>
      </c>
      <c r="C11" s="100"/>
      <c r="D11" s="123"/>
      <c r="E11" s="6"/>
      <c r="F11" s="6"/>
      <c r="G11" s="6"/>
      <c r="H11" s="6"/>
      <c r="I11" s="5"/>
    </row>
    <row r="12" spans="2:12" ht="15.6" x14ac:dyDescent="0.3">
      <c r="B12" s="14" t="s">
        <v>27</v>
      </c>
      <c r="C12" s="104" t="s">
        <v>28</v>
      </c>
      <c r="D12" s="105"/>
      <c r="E12" s="105"/>
      <c r="F12" s="105"/>
      <c r="G12" s="105"/>
      <c r="H12" s="105"/>
      <c r="I12" s="106"/>
    </row>
    <row r="13" spans="2:12" ht="16.2" thickBot="1" x14ac:dyDescent="0.35">
      <c r="B13" s="14" t="s">
        <v>30</v>
      </c>
      <c r="C13" s="107"/>
      <c r="D13" s="108"/>
      <c r="E13" s="108"/>
      <c r="F13" s="108"/>
      <c r="G13" s="108"/>
      <c r="H13" s="108"/>
      <c r="I13" s="109"/>
    </row>
    <row r="14" spans="2:12" ht="15.9" customHeight="1" x14ac:dyDescent="0.3">
      <c r="B14" s="14" t="s">
        <v>32</v>
      </c>
      <c r="C14" s="98" t="s">
        <v>44</v>
      </c>
      <c r="D14" s="121" t="s">
        <v>54</v>
      </c>
      <c r="E14" s="11"/>
      <c r="F14" s="11"/>
      <c r="G14" s="11"/>
      <c r="H14" s="11"/>
      <c r="I14" s="10"/>
    </row>
    <row r="15" spans="2:12" ht="15.6" x14ac:dyDescent="0.3">
      <c r="B15" s="14" t="s">
        <v>37</v>
      </c>
      <c r="C15" s="99"/>
      <c r="D15" s="122"/>
      <c r="I15" s="8"/>
    </row>
    <row r="16" spans="2:12" ht="16.2" thickBot="1" x14ac:dyDescent="0.35">
      <c r="B16" s="14" t="s">
        <v>39</v>
      </c>
      <c r="C16" s="100"/>
      <c r="D16" s="123"/>
      <c r="E16" s="6"/>
      <c r="F16" s="6"/>
      <c r="G16" s="6"/>
      <c r="H16" s="6"/>
      <c r="I16" s="5"/>
    </row>
    <row r="17" spans="2:9" ht="16.2" thickBot="1" x14ac:dyDescent="0.35">
      <c r="B17" s="14" t="s">
        <v>41</v>
      </c>
      <c r="C17" s="86" t="s">
        <v>42</v>
      </c>
      <c r="D17" s="87"/>
      <c r="E17" s="87"/>
      <c r="F17" s="87"/>
      <c r="G17" s="87"/>
      <c r="H17" s="87"/>
      <c r="I17" s="88"/>
    </row>
    <row r="18" spans="2:9" ht="15.9" customHeight="1" x14ac:dyDescent="0.3">
      <c r="B18" s="14" t="s">
        <v>43</v>
      </c>
      <c r="C18" s="98" t="s">
        <v>55</v>
      </c>
      <c r="D18" s="89" t="s">
        <v>56</v>
      </c>
      <c r="E18" s="11"/>
      <c r="F18" s="11"/>
      <c r="G18" s="11"/>
      <c r="H18" s="11"/>
      <c r="I18" s="10"/>
    </row>
    <row r="19" spans="2:9" ht="15.6" x14ac:dyDescent="0.3">
      <c r="B19" s="14" t="s">
        <v>46</v>
      </c>
      <c r="C19" s="99"/>
      <c r="D19" s="90"/>
      <c r="I19" s="8"/>
    </row>
    <row r="20" spans="2:9" ht="15.6" x14ac:dyDescent="0.3">
      <c r="B20" s="14" t="s">
        <v>47</v>
      </c>
      <c r="C20" s="99"/>
      <c r="D20" s="90"/>
      <c r="I20" s="8"/>
    </row>
    <row r="21" spans="2:9" ht="16.2" thickBot="1" x14ac:dyDescent="0.35">
      <c r="B21" s="15" t="s">
        <v>48</v>
      </c>
      <c r="C21" s="100"/>
      <c r="D21" s="91"/>
      <c r="E21" s="6"/>
      <c r="F21" s="6"/>
      <c r="G21" s="6"/>
      <c r="H21" s="6"/>
      <c r="I21" s="5"/>
    </row>
    <row r="22" spans="2:9" ht="15.6" x14ac:dyDescent="0.3">
      <c r="B22" s="12"/>
      <c r="C22" s="85"/>
      <c r="D22" s="85"/>
      <c r="E22" s="85"/>
      <c r="F22" s="85"/>
      <c r="G22" s="85"/>
      <c r="H22" s="85"/>
      <c r="I22" s="85"/>
    </row>
    <row r="23" spans="2:9" ht="15.6" x14ac:dyDescent="0.3">
      <c r="B23" s="16"/>
    </row>
  </sheetData>
  <mergeCells count="13">
    <mergeCell ref="C22:I22"/>
    <mergeCell ref="B2:I2"/>
    <mergeCell ref="C5:C7"/>
    <mergeCell ref="C8:I8"/>
    <mergeCell ref="C9:C11"/>
    <mergeCell ref="D9:D11"/>
    <mergeCell ref="C12:I13"/>
    <mergeCell ref="C14:C16"/>
    <mergeCell ref="C17:I17"/>
    <mergeCell ref="C18:C21"/>
    <mergeCell ref="D14:D16"/>
    <mergeCell ref="D18:D21"/>
    <mergeCell ref="D5:D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3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K15" sqref="K15"/>
    </sheetView>
  </sheetViews>
  <sheetFormatPr baseColWidth="10" defaultColWidth="8.88671875" defaultRowHeight="14.4" x14ac:dyDescent="0.3"/>
  <cols>
    <col min="2" max="2" width="12.44140625" bestFit="1" customWidth="1"/>
    <col min="3" max="3" width="11.88671875" customWidth="1"/>
    <col min="4" max="4" width="15.88671875" customWidth="1"/>
    <col min="5" max="9" width="11.109375" customWidth="1"/>
    <col min="11" max="11" width="19.109375" bestFit="1" customWidth="1"/>
  </cols>
  <sheetData>
    <row r="1" spans="2:12" ht="15" thickBot="1" x14ac:dyDescent="0.35"/>
    <row r="2" spans="2:12" ht="15" thickBot="1" x14ac:dyDescent="0.35">
      <c r="B2" s="86" t="s">
        <v>196</v>
      </c>
      <c r="C2" s="87"/>
      <c r="D2" s="87"/>
      <c r="E2" s="87"/>
      <c r="F2" s="87"/>
      <c r="G2" s="87"/>
      <c r="H2" s="87"/>
      <c r="I2" s="88"/>
    </row>
    <row r="3" spans="2:12" x14ac:dyDescent="0.3">
      <c r="B3" s="9"/>
      <c r="D3" s="4" t="s">
        <v>1</v>
      </c>
      <c r="E3" s="81" t="s">
        <v>2</v>
      </c>
      <c r="F3" s="81" t="s">
        <v>3</v>
      </c>
      <c r="G3" s="81" t="s">
        <v>4</v>
      </c>
      <c r="H3" s="81" t="s">
        <v>6</v>
      </c>
      <c r="I3" s="21" t="s">
        <v>7</v>
      </c>
      <c r="K3" s="22" t="s">
        <v>8</v>
      </c>
      <c r="L3" s="32">
        <v>5</v>
      </c>
    </row>
    <row r="4" spans="2:12" ht="15" thickBot="1" x14ac:dyDescent="0.35">
      <c r="B4" s="7"/>
      <c r="C4" s="6"/>
      <c r="D4" s="3">
        <v>280</v>
      </c>
      <c r="E4" s="17">
        <v>80</v>
      </c>
      <c r="F4" s="17">
        <v>72</v>
      </c>
      <c r="G4" s="17">
        <v>50</v>
      </c>
      <c r="H4" s="17">
        <v>16</v>
      </c>
      <c r="I4" s="18">
        <v>12</v>
      </c>
      <c r="K4" s="23" t="s">
        <v>9</v>
      </c>
      <c r="L4" s="33">
        <v>3</v>
      </c>
    </row>
    <row r="5" spans="2:12" ht="15.6" customHeight="1" thickBot="1" x14ac:dyDescent="0.35">
      <c r="B5" s="13" t="s">
        <v>10</v>
      </c>
      <c r="C5" s="116" t="s">
        <v>20</v>
      </c>
      <c r="D5" s="110" t="s">
        <v>57</v>
      </c>
      <c r="E5" s="26"/>
      <c r="F5" s="26"/>
      <c r="G5" s="26"/>
      <c r="H5" s="26"/>
      <c r="I5" s="27"/>
      <c r="K5" s="25" t="s">
        <v>13</v>
      </c>
      <c r="L5" s="34">
        <v>4</v>
      </c>
    </row>
    <row r="6" spans="2:12" ht="16.2" thickBot="1" x14ac:dyDescent="0.35">
      <c r="B6" s="14" t="s">
        <v>14</v>
      </c>
      <c r="C6" s="117"/>
      <c r="D6" s="111"/>
      <c r="E6" s="28"/>
      <c r="F6" s="28"/>
      <c r="G6" s="28"/>
      <c r="H6" s="28"/>
      <c r="I6" s="29"/>
      <c r="K6" s="24" t="s">
        <v>15</v>
      </c>
      <c r="L6" s="34">
        <f>L3*L4*L5</f>
        <v>60</v>
      </c>
    </row>
    <row r="7" spans="2:12" ht="16.2" thickBot="1" x14ac:dyDescent="0.35">
      <c r="B7" s="15" t="s">
        <v>16</v>
      </c>
      <c r="C7" s="118"/>
      <c r="D7" s="124"/>
      <c r="E7" s="30"/>
      <c r="F7" s="30"/>
      <c r="G7" s="30"/>
      <c r="H7" s="30"/>
      <c r="I7" s="31"/>
    </row>
    <row r="8" spans="2:12" ht="16.2" thickBot="1" x14ac:dyDescent="0.35">
      <c r="B8" s="1" t="s">
        <v>17</v>
      </c>
      <c r="C8" s="87" t="s">
        <v>18</v>
      </c>
      <c r="D8" s="119"/>
      <c r="E8" s="119"/>
      <c r="F8" s="119"/>
      <c r="G8" s="119"/>
      <c r="H8" s="119"/>
      <c r="I8" s="120"/>
    </row>
    <row r="9" spans="2:12" ht="15.6" x14ac:dyDescent="0.3">
      <c r="B9" s="13" t="s">
        <v>19</v>
      </c>
      <c r="C9" s="98" t="s">
        <v>33</v>
      </c>
      <c r="D9" s="110" t="s">
        <v>58</v>
      </c>
      <c r="E9" s="11"/>
      <c r="F9" s="11"/>
      <c r="G9" s="11"/>
      <c r="H9" s="11"/>
      <c r="I9" s="10"/>
    </row>
    <row r="10" spans="2:12" ht="15.6" x14ac:dyDescent="0.3">
      <c r="B10" s="14" t="s">
        <v>23</v>
      </c>
      <c r="C10" s="99"/>
      <c r="D10" s="111"/>
      <c r="I10" s="8"/>
    </row>
    <row r="11" spans="2:12" ht="16.2" thickBot="1" x14ac:dyDescent="0.35">
      <c r="B11" s="15" t="s">
        <v>25</v>
      </c>
      <c r="C11" s="100"/>
      <c r="D11" s="112"/>
      <c r="E11" s="6"/>
      <c r="F11" s="6"/>
      <c r="G11" s="6"/>
      <c r="H11" s="6"/>
      <c r="I11" s="5"/>
    </row>
    <row r="12" spans="2:12" ht="15.6" x14ac:dyDescent="0.3">
      <c r="B12" s="14" t="s">
        <v>27</v>
      </c>
      <c r="C12" s="104" t="s">
        <v>28</v>
      </c>
      <c r="D12" s="105"/>
      <c r="E12" s="105"/>
      <c r="F12" s="105"/>
      <c r="G12" s="105"/>
      <c r="H12" s="105"/>
      <c r="I12" s="106"/>
    </row>
    <row r="13" spans="2:12" ht="16.2" thickBot="1" x14ac:dyDescent="0.35">
      <c r="B13" s="14" t="s">
        <v>30</v>
      </c>
      <c r="C13" s="107"/>
      <c r="D13" s="108"/>
      <c r="E13" s="108"/>
      <c r="F13" s="108"/>
      <c r="G13" s="108"/>
      <c r="H13" s="108"/>
      <c r="I13" s="109"/>
    </row>
    <row r="14" spans="2:12" ht="15.6" x14ac:dyDescent="0.3">
      <c r="B14" s="14" t="s">
        <v>32</v>
      </c>
      <c r="C14" s="98" t="s">
        <v>44</v>
      </c>
      <c r="D14" s="110" t="s">
        <v>59</v>
      </c>
      <c r="E14" s="11"/>
      <c r="F14" s="11"/>
      <c r="G14" s="11"/>
      <c r="H14" s="11"/>
      <c r="I14" s="10"/>
    </row>
    <row r="15" spans="2:12" ht="15.6" x14ac:dyDescent="0.3">
      <c r="B15" s="14" t="s">
        <v>37</v>
      </c>
      <c r="C15" s="99"/>
      <c r="D15" s="111"/>
      <c r="I15" s="8"/>
    </row>
    <row r="16" spans="2:12" ht="16.2" thickBot="1" x14ac:dyDescent="0.35">
      <c r="B16" s="14" t="s">
        <v>39</v>
      </c>
      <c r="C16" s="100"/>
      <c r="D16" s="112"/>
      <c r="E16" s="6"/>
      <c r="F16" s="6"/>
      <c r="G16" s="6"/>
      <c r="H16" s="6"/>
      <c r="I16" s="5"/>
    </row>
    <row r="17" spans="2:9" ht="16.2" thickBot="1" x14ac:dyDescent="0.35">
      <c r="B17" s="14" t="s">
        <v>41</v>
      </c>
      <c r="C17" s="86" t="s">
        <v>60</v>
      </c>
      <c r="D17" s="87"/>
      <c r="E17" s="87"/>
      <c r="F17" s="87"/>
      <c r="G17" s="87"/>
      <c r="H17" s="87"/>
      <c r="I17" s="88"/>
    </row>
    <row r="18" spans="2:9" ht="15.6" x14ac:dyDescent="0.3">
      <c r="B18" s="35" t="s">
        <v>43</v>
      </c>
      <c r="C18" s="125" t="s">
        <v>61</v>
      </c>
      <c r="D18" s="36"/>
      <c r="E18" s="36"/>
      <c r="F18" s="36"/>
      <c r="G18" s="36"/>
      <c r="H18" s="36"/>
      <c r="I18" s="37"/>
    </row>
    <row r="19" spans="2:9" ht="15.6" x14ac:dyDescent="0.3">
      <c r="B19" s="35" t="s">
        <v>46</v>
      </c>
      <c r="C19" s="126"/>
      <c r="D19" s="38"/>
      <c r="E19" s="38"/>
      <c r="F19" s="38"/>
      <c r="G19" s="38"/>
      <c r="H19" s="38"/>
      <c r="I19" s="39"/>
    </row>
    <row r="20" spans="2:9" ht="15.6" x14ac:dyDescent="0.3">
      <c r="B20" s="35" t="s">
        <v>47</v>
      </c>
      <c r="C20" s="126"/>
      <c r="D20" s="38"/>
      <c r="E20" s="38"/>
      <c r="F20" s="38"/>
      <c r="G20" s="38"/>
      <c r="H20" s="38"/>
      <c r="I20" s="39"/>
    </row>
    <row r="21" spans="2:9" ht="16.2" thickBot="1" x14ac:dyDescent="0.35">
      <c r="B21" s="40" t="s">
        <v>48</v>
      </c>
      <c r="C21" s="127"/>
      <c r="D21" s="41"/>
      <c r="E21" s="41"/>
      <c r="F21" s="41"/>
      <c r="G21" s="41"/>
      <c r="H21" s="41"/>
      <c r="I21" s="42"/>
    </row>
    <row r="22" spans="2:9" ht="15.6" x14ac:dyDescent="0.3">
      <c r="B22" s="12"/>
      <c r="C22" s="85"/>
      <c r="D22" s="85"/>
      <c r="E22" s="85"/>
      <c r="F22" s="85"/>
      <c r="G22" s="85"/>
      <c r="H22" s="85"/>
      <c r="I22" s="85"/>
    </row>
    <row r="23" spans="2:9" ht="15.6" x14ac:dyDescent="0.3">
      <c r="B23" s="16"/>
    </row>
  </sheetData>
  <mergeCells count="12">
    <mergeCell ref="C22:I22"/>
    <mergeCell ref="B2:I2"/>
    <mergeCell ref="C5:C7"/>
    <mergeCell ref="C8:I8"/>
    <mergeCell ref="C9:C11"/>
    <mergeCell ref="C12:I13"/>
    <mergeCell ref="C14:C16"/>
    <mergeCell ref="C17:I17"/>
    <mergeCell ref="C18:C21"/>
    <mergeCell ref="D14:D16"/>
    <mergeCell ref="D9:D11"/>
    <mergeCell ref="D5:D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8BDE-4417-174D-9F7E-F6F30095C11D}">
  <dimension ref="B1:J52"/>
  <sheetViews>
    <sheetView showGridLines="0" tabSelected="1" zoomScale="160" zoomScaleNormal="160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C53" sqref="C53"/>
    </sheetView>
  </sheetViews>
  <sheetFormatPr baseColWidth="10" defaultColWidth="11.44140625" defaultRowHeight="17.100000000000001" customHeight="1" x14ac:dyDescent="0.3"/>
  <cols>
    <col min="1" max="1" width="1.109375" customWidth="1"/>
    <col min="2" max="2" width="4" customWidth="1"/>
    <col min="3" max="3" width="36" customWidth="1"/>
    <col min="4" max="4" width="25.44140625" bestFit="1" customWidth="1"/>
    <col min="5" max="5" width="28.6640625" customWidth="1"/>
    <col min="6" max="6" width="29.33203125" style="68" bestFit="1" customWidth="1"/>
    <col min="7" max="7" width="11.44140625" style="74"/>
    <col min="8" max="8" width="10" customWidth="1"/>
    <col min="9" max="9" width="17.109375" style="17" customWidth="1"/>
    <col min="10" max="10" width="48.6640625" customWidth="1"/>
  </cols>
  <sheetData>
    <row r="1" spans="2:10" ht="15" thickBot="1" x14ac:dyDescent="0.35"/>
    <row r="2" spans="2:10" ht="17.100000000000001" customHeight="1" thickBot="1" x14ac:dyDescent="0.35">
      <c r="B2" s="67" t="s">
        <v>62</v>
      </c>
      <c r="C2" s="43" t="s">
        <v>63</v>
      </c>
      <c r="D2" s="44" t="s">
        <v>64</v>
      </c>
      <c r="E2" s="43" t="s">
        <v>65</v>
      </c>
      <c r="F2" s="44" t="s">
        <v>66</v>
      </c>
      <c r="G2" s="75" t="s">
        <v>67</v>
      </c>
      <c r="H2" s="43" t="s">
        <v>68</v>
      </c>
      <c r="I2" s="43" t="s">
        <v>69</v>
      </c>
      <c r="J2" s="43" t="s">
        <v>70</v>
      </c>
    </row>
    <row r="3" spans="2:10" ht="17.100000000000001" customHeight="1" x14ac:dyDescent="0.3">
      <c r="B3" s="131">
        <v>1</v>
      </c>
      <c r="C3" s="134" t="s">
        <v>71</v>
      </c>
      <c r="D3" s="55" t="s">
        <v>72</v>
      </c>
      <c r="E3" s="70" t="s">
        <v>73</v>
      </c>
      <c r="F3" s="131" t="s">
        <v>74</v>
      </c>
      <c r="G3" s="82" t="s">
        <v>75</v>
      </c>
      <c r="H3" s="48" t="s">
        <v>76</v>
      </c>
      <c r="I3" s="48" t="s">
        <v>77</v>
      </c>
      <c r="J3" s="137" t="s">
        <v>197</v>
      </c>
    </row>
    <row r="4" spans="2:10" ht="17.100000000000001" customHeight="1" x14ac:dyDescent="0.3">
      <c r="B4" s="132"/>
      <c r="C4" s="135"/>
      <c r="D4" s="56" t="s">
        <v>78</v>
      </c>
      <c r="E4" s="70" t="s">
        <v>79</v>
      </c>
      <c r="F4" s="132"/>
      <c r="G4" s="83" t="s">
        <v>80</v>
      </c>
      <c r="H4" s="49" t="s">
        <v>81</v>
      </c>
      <c r="I4" s="49" t="s">
        <v>82</v>
      </c>
      <c r="J4" s="138"/>
    </row>
    <row r="5" spans="2:10" ht="17.100000000000001" customHeight="1" x14ac:dyDescent="0.3">
      <c r="B5" s="132"/>
      <c r="C5" s="135"/>
      <c r="D5" s="56" t="s">
        <v>83</v>
      </c>
      <c r="E5" s="65" t="s">
        <v>84</v>
      </c>
      <c r="F5" s="132"/>
      <c r="G5" s="83" t="s">
        <v>85</v>
      </c>
      <c r="H5" s="49" t="s">
        <v>76</v>
      </c>
      <c r="I5" s="49" t="s">
        <v>82</v>
      </c>
      <c r="J5" s="138"/>
    </row>
    <row r="6" spans="2:10" ht="17.100000000000001" customHeight="1" x14ac:dyDescent="0.3">
      <c r="B6" s="132"/>
      <c r="C6" s="135"/>
      <c r="D6" s="56" t="s">
        <v>86</v>
      </c>
      <c r="E6" s="66" t="s">
        <v>87</v>
      </c>
      <c r="F6" s="132"/>
      <c r="G6" s="83" t="s">
        <v>85</v>
      </c>
      <c r="H6" s="49" t="s">
        <v>81</v>
      </c>
      <c r="I6" s="49" t="s">
        <v>88</v>
      </c>
      <c r="J6" s="138"/>
    </row>
    <row r="7" spans="2:10" ht="17.100000000000001" customHeight="1" thickBot="1" x14ac:dyDescent="0.35">
      <c r="B7" s="133"/>
      <c r="C7" s="136"/>
      <c r="D7" s="57" t="s">
        <v>89</v>
      </c>
      <c r="E7" s="57"/>
      <c r="F7" s="133"/>
      <c r="G7" s="84" t="s">
        <v>75</v>
      </c>
      <c r="H7" s="50" t="s">
        <v>76</v>
      </c>
      <c r="I7" s="50" t="s">
        <v>90</v>
      </c>
      <c r="J7" s="139"/>
    </row>
    <row r="8" spans="2:10" ht="17.100000000000001" customHeight="1" x14ac:dyDescent="0.3">
      <c r="B8" s="131">
        <v>2</v>
      </c>
      <c r="C8" s="134" t="s">
        <v>91</v>
      </c>
      <c r="D8" s="55" t="s">
        <v>92</v>
      </c>
      <c r="E8" s="56" t="s">
        <v>93</v>
      </c>
      <c r="F8" s="131" t="s">
        <v>94</v>
      </c>
      <c r="G8" s="82" t="s">
        <v>75</v>
      </c>
      <c r="H8" s="48" t="s">
        <v>76</v>
      </c>
      <c r="I8" s="48" t="s">
        <v>90</v>
      </c>
      <c r="J8" s="45"/>
    </row>
    <row r="9" spans="2:10" ht="17.100000000000001" customHeight="1" x14ac:dyDescent="0.3">
      <c r="B9" s="132"/>
      <c r="C9" s="135"/>
      <c r="D9" s="56" t="s">
        <v>95</v>
      </c>
      <c r="E9" s="56" t="s">
        <v>96</v>
      </c>
      <c r="F9" s="132"/>
      <c r="G9" s="83" t="s">
        <v>75</v>
      </c>
      <c r="H9" s="49" t="s">
        <v>76</v>
      </c>
      <c r="I9" s="49" t="s">
        <v>90</v>
      </c>
      <c r="J9" s="46"/>
    </row>
    <row r="10" spans="2:10" ht="17.100000000000001" customHeight="1" x14ac:dyDescent="0.3">
      <c r="B10" s="132"/>
      <c r="C10" s="135"/>
      <c r="D10" s="56" t="s">
        <v>97</v>
      </c>
      <c r="E10" s="56"/>
      <c r="F10" s="132"/>
      <c r="G10" s="76" t="s">
        <v>98</v>
      </c>
      <c r="H10" s="49"/>
      <c r="I10" s="49"/>
      <c r="J10" s="46"/>
    </row>
    <row r="11" spans="2:10" ht="17.100000000000001" customHeight="1" thickBot="1" x14ac:dyDescent="0.35">
      <c r="B11" s="133"/>
      <c r="C11" s="136"/>
      <c r="D11" s="57" t="s">
        <v>97</v>
      </c>
      <c r="E11" s="57"/>
      <c r="F11" s="133"/>
      <c r="G11" s="77" t="s">
        <v>98</v>
      </c>
      <c r="H11" s="50"/>
      <c r="I11" s="50"/>
      <c r="J11" s="47"/>
    </row>
    <row r="12" spans="2:10" ht="17.100000000000001" customHeight="1" x14ac:dyDescent="0.3">
      <c r="B12" s="131">
        <v>3</v>
      </c>
      <c r="C12" s="134" t="s">
        <v>99</v>
      </c>
      <c r="D12" s="55" t="s">
        <v>100</v>
      </c>
      <c r="E12" s="72" t="s">
        <v>101</v>
      </c>
      <c r="F12" s="131" t="s">
        <v>102</v>
      </c>
      <c r="G12" s="82" t="s">
        <v>80</v>
      </c>
      <c r="H12" s="48" t="s">
        <v>76</v>
      </c>
      <c r="I12" s="48" t="s">
        <v>103</v>
      </c>
      <c r="J12" s="45" t="s">
        <v>198</v>
      </c>
    </row>
    <row r="13" spans="2:10" ht="17.100000000000001" customHeight="1" x14ac:dyDescent="0.3">
      <c r="B13" s="132"/>
      <c r="C13" s="135"/>
      <c r="D13" s="56" t="s">
        <v>191</v>
      </c>
      <c r="E13" s="73"/>
      <c r="F13" s="132"/>
      <c r="G13" s="74" t="s">
        <v>75</v>
      </c>
      <c r="H13" s="49" t="s">
        <v>76</v>
      </c>
      <c r="I13" s="49"/>
      <c r="J13" t="s">
        <v>192</v>
      </c>
    </row>
    <row r="14" spans="2:10" ht="17.100000000000001" customHeight="1" x14ac:dyDescent="0.3">
      <c r="B14" s="132"/>
      <c r="C14" s="135"/>
      <c r="D14" s="59" t="s">
        <v>104</v>
      </c>
      <c r="E14" s="70" t="s">
        <v>105</v>
      </c>
      <c r="F14" s="132"/>
      <c r="G14" s="83" t="s">
        <v>75</v>
      </c>
      <c r="H14" s="49" t="s">
        <v>81</v>
      </c>
      <c r="I14" s="49" t="s">
        <v>82</v>
      </c>
      <c r="J14" s="46" t="s">
        <v>199</v>
      </c>
    </row>
    <row r="15" spans="2:10" ht="17.100000000000001" customHeight="1" x14ac:dyDescent="0.3">
      <c r="B15" s="132"/>
      <c r="C15" s="135"/>
      <c r="D15" s="59" t="s">
        <v>106</v>
      </c>
      <c r="E15" s="71" t="s">
        <v>107</v>
      </c>
      <c r="F15" s="132"/>
      <c r="G15" s="83" t="s">
        <v>75</v>
      </c>
      <c r="H15" s="49" t="s">
        <v>76</v>
      </c>
      <c r="I15" s="49"/>
      <c r="J15" s="46"/>
    </row>
    <row r="16" spans="2:10" ht="17.100000000000001" customHeight="1" x14ac:dyDescent="0.3">
      <c r="B16" s="132"/>
      <c r="C16" s="135"/>
      <c r="D16" s="56" t="s">
        <v>108</v>
      </c>
      <c r="E16" s="73" t="s">
        <v>109</v>
      </c>
      <c r="F16" s="132"/>
      <c r="G16" s="83" t="s">
        <v>85</v>
      </c>
      <c r="H16" s="49" t="s">
        <v>76</v>
      </c>
      <c r="I16" s="49" t="s">
        <v>110</v>
      </c>
      <c r="J16" s="46" t="s">
        <v>111</v>
      </c>
    </row>
    <row r="17" spans="2:10" ht="17.100000000000001" customHeight="1" thickBot="1" x14ac:dyDescent="0.35">
      <c r="B17" s="133"/>
      <c r="C17" s="136"/>
      <c r="D17" s="57" t="s">
        <v>112</v>
      </c>
      <c r="E17" s="57"/>
      <c r="F17" s="133"/>
      <c r="G17" s="84"/>
      <c r="H17" s="50"/>
      <c r="I17" s="50"/>
      <c r="J17" s="47"/>
    </row>
    <row r="18" spans="2:10" ht="17.100000000000001" customHeight="1" x14ac:dyDescent="0.3">
      <c r="B18" s="131">
        <v>4</v>
      </c>
      <c r="C18" s="134" t="s">
        <v>113</v>
      </c>
      <c r="D18" s="55" t="s">
        <v>114</v>
      </c>
      <c r="E18" s="62" t="s">
        <v>115</v>
      </c>
      <c r="F18" s="131" t="s">
        <v>116</v>
      </c>
      <c r="G18" s="83" t="s">
        <v>80</v>
      </c>
      <c r="H18" s="48" t="s">
        <v>81</v>
      </c>
      <c r="I18" s="48" t="s">
        <v>90</v>
      </c>
      <c r="J18" s="45"/>
    </row>
    <row r="19" spans="2:10" ht="17.100000000000001" customHeight="1" x14ac:dyDescent="0.3">
      <c r="B19" s="132"/>
      <c r="C19" s="135"/>
      <c r="D19" s="56" t="s">
        <v>117</v>
      </c>
      <c r="E19" s="73" t="s">
        <v>118</v>
      </c>
      <c r="F19" s="132"/>
      <c r="G19" s="83" t="s">
        <v>75</v>
      </c>
      <c r="H19" s="49" t="s">
        <v>76</v>
      </c>
      <c r="I19" s="49" t="s">
        <v>119</v>
      </c>
      <c r="J19" s="46" t="s">
        <v>120</v>
      </c>
    </row>
    <row r="20" spans="2:10" ht="17.100000000000001" customHeight="1" x14ac:dyDescent="0.3">
      <c r="B20" s="132"/>
      <c r="C20" s="135"/>
      <c r="D20" s="56" t="s">
        <v>121</v>
      </c>
      <c r="E20" s="62" t="s">
        <v>122</v>
      </c>
      <c r="F20" s="132"/>
      <c r="G20" s="83" t="s">
        <v>80</v>
      </c>
      <c r="H20" s="49" t="s">
        <v>76</v>
      </c>
      <c r="I20" s="49" t="s">
        <v>77</v>
      </c>
      <c r="J20" s="46" t="s">
        <v>205</v>
      </c>
    </row>
    <row r="21" spans="2:10" ht="17.100000000000001" customHeight="1" thickBot="1" x14ac:dyDescent="0.35">
      <c r="B21" s="133"/>
      <c r="C21" s="136"/>
      <c r="D21" s="57" t="s">
        <v>200</v>
      </c>
      <c r="E21" s="57"/>
      <c r="F21" s="133"/>
      <c r="G21" s="84" t="s">
        <v>75</v>
      </c>
      <c r="H21" s="50" t="s">
        <v>76</v>
      </c>
      <c r="I21" s="50" t="s">
        <v>90</v>
      </c>
      <c r="J21" s="47"/>
    </row>
    <row r="22" spans="2:10" ht="17.100000000000001" customHeight="1" x14ac:dyDescent="0.3">
      <c r="B22" s="131">
        <v>5</v>
      </c>
      <c r="C22" s="134" t="s">
        <v>123</v>
      </c>
      <c r="D22" s="55" t="s">
        <v>124</v>
      </c>
      <c r="E22" s="62" t="s">
        <v>125</v>
      </c>
      <c r="F22" s="131" t="s">
        <v>126</v>
      </c>
      <c r="G22" s="83" t="s">
        <v>75</v>
      </c>
      <c r="H22" s="48" t="s">
        <v>76</v>
      </c>
      <c r="I22" s="48" t="s">
        <v>127</v>
      </c>
      <c r="J22" s="137" t="s">
        <v>201</v>
      </c>
    </row>
    <row r="23" spans="2:10" ht="17.100000000000001" customHeight="1" x14ac:dyDescent="0.3">
      <c r="B23" s="132"/>
      <c r="C23" s="135"/>
      <c r="D23" s="56" t="s">
        <v>128</v>
      </c>
      <c r="E23" s="56" t="s">
        <v>129</v>
      </c>
      <c r="F23" s="132"/>
      <c r="G23" s="83" t="s">
        <v>75</v>
      </c>
      <c r="H23" s="49" t="s">
        <v>81</v>
      </c>
      <c r="I23" s="49" t="s">
        <v>82</v>
      </c>
      <c r="J23" s="138"/>
    </row>
    <row r="24" spans="2:10" ht="17.100000000000001" customHeight="1" x14ac:dyDescent="0.3">
      <c r="B24" s="132"/>
      <c r="C24" s="135"/>
      <c r="D24" s="56" t="s">
        <v>130</v>
      </c>
      <c r="E24" s="46" t="s">
        <v>131</v>
      </c>
      <c r="F24" s="132"/>
      <c r="G24" s="83" t="s">
        <v>80</v>
      </c>
      <c r="H24" s="49" t="s">
        <v>76</v>
      </c>
      <c r="I24" s="49" t="s">
        <v>132</v>
      </c>
      <c r="J24" s="138"/>
    </row>
    <row r="25" spans="2:10" ht="17.100000000000001" customHeight="1" x14ac:dyDescent="0.3">
      <c r="B25" s="132"/>
      <c r="C25" s="135"/>
      <c r="D25" s="56" t="s">
        <v>133</v>
      </c>
      <c r="E25" s="62" t="s">
        <v>134</v>
      </c>
      <c r="F25" s="132"/>
      <c r="G25" s="83" t="s">
        <v>85</v>
      </c>
      <c r="H25" s="49" t="s">
        <v>76</v>
      </c>
      <c r="I25" s="49" t="s">
        <v>132</v>
      </c>
      <c r="J25" s="138"/>
    </row>
    <row r="26" spans="2:10" ht="17.100000000000001" customHeight="1" x14ac:dyDescent="0.3">
      <c r="B26" s="132"/>
      <c r="C26" s="135"/>
      <c r="D26" s="56" t="s">
        <v>135</v>
      </c>
      <c r="E26" s="63" t="s">
        <v>136</v>
      </c>
      <c r="F26" s="132"/>
      <c r="G26" s="83" t="s">
        <v>75</v>
      </c>
      <c r="H26" s="49" t="s">
        <v>76</v>
      </c>
      <c r="I26" s="49" t="s">
        <v>137</v>
      </c>
      <c r="J26" s="138"/>
    </row>
    <row r="27" spans="2:10" ht="17.100000000000001" customHeight="1" thickBot="1" x14ac:dyDescent="0.35">
      <c r="B27" s="133"/>
      <c r="C27" s="136"/>
      <c r="D27" s="57" t="s">
        <v>138</v>
      </c>
      <c r="E27" s="57"/>
      <c r="F27" s="133"/>
      <c r="G27" s="84"/>
      <c r="H27" s="50"/>
      <c r="I27" s="50"/>
      <c r="J27" s="139"/>
    </row>
    <row r="28" spans="2:10" ht="17.100000000000001" customHeight="1" x14ac:dyDescent="0.3">
      <c r="B28" s="131">
        <v>6</v>
      </c>
      <c r="C28" s="134" t="s">
        <v>139</v>
      </c>
      <c r="D28" s="55" t="s">
        <v>140</v>
      </c>
      <c r="E28" s="55"/>
      <c r="F28" s="131" t="s">
        <v>141</v>
      </c>
      <c r="G28" s="82" t="s">
        <v>75</v>
      </c>
      <c r="H28" s="48" t="s">
        <v>76</v>
      </c>
      <c r="I28" s="48" t="s">
        <v>90</v>
      </c>
      <c r="J28" s="45"/>
    </row>
    <row r="29" spans="2:10" ht="17.100000000000001" customHeight="1" x14ac:dyDescent="0.3">
      <c r="B29" s="132"/>
      <c r="C29" s="135"/>
      <c r="D29" s="56" t="s">
        <v>142</v>
      </c>
      <c r="E29" s="56" t="s">
        <v>143</v>
      </c>
      <c r="F29" s="132"/>
      <c r="G29" s="83" t="s">
        <v>75</v>
      </c>
      <c r="H29" s="49" t="s">
        <v>81</v>
      </c>
      <c r="I29" s="49"/>
      <c r="J29" s="46"/>
    </row>
    <row r="30" spans="2:10" ht="17.100000000000001" customHeight="1" x14ac:dyDescent="0.3">
      <c r="B30" s="132"/>
      <c r="C30" s="135"/>
      <c r="D30" s="58" t="s">
        <v>144</v>
      </c>
      <c r="E30" s="58"/>
      <c r="F30" s="132"/>
      <c r="G30" s="83"/>
      <c r="H30" s="49"/>
      <c r="I30" s="49"/>
      <c r="J30" s="46"/>
    </row>
    <row r="31" spans="2:10" ht="17.100000000000001" customHeight="1" x14ac:dyDescent="0.3">
      <c r="B31" s="132"/>
      <c r="C31" s="135"/>
      <c r="D31" s="58" t="s">
        <v>97</v>
      </c>
      <c r="E31" s="58"/>
      <c r="F31" s="132"/>
      <c r="G31" s="83"/>
      <c r="H31" s="49"/>
      <c r="I31" s="49"/>
      <c r="J31" s="46"/>
    </row>
    <row r="32" spans="2:10" ht="17.100000000000001" customHeight="1" thickBot="1" x14ac:dyDescent="0.35">
      <c r="B32" s="133"/>
      <c r="C32" s="136"/>
      <c r="D32" s="57" t="s">
        <v>112</v>
      </c>
      <c r="E32" s="57"/>
      <c r="F32" s="133"/>
      <c r="G32" s="84"/>
      <c r="H32" s="50"/>
      <c r="I32" s="50"/>
      <c r="J32" s="47"/>
    </row>
    <row r="33" spans="2:10" ht="17.100000000000001" customHeight="1" x14ac:dyDescent="0.3">
      <c r="B33" s="131">
        <v>7</v>
      </c>
      <c r="C33" s="134" t="s">
        <v>202</v>
      </c>
      <c r="D33" s="55" t="s">
        <v>145</v>
      </c>
      <c r="E33" s="55" t="s">
        <v>146</v>
      </c>
      <c r="F33" s="131" t="s">
        <v>147</v>
      </c>
      <c r="G33" s="83" t="s">
        <v>75</v>
      </c>
      <c r="H33" s="48" t="s">
        <v>81</v>
      </c>
      <c r="I33" s="48" t="s">
        <v>90</v>
      </c>
      <c r="J33" s="137" t="s">
        <v>203</v>
      </c>
    </row>
    <row r="34" spans="2:10" ht="17.100000000000001" customHeight="1" x14ac:dyDescent="0.3">
      <c r="B34" s="132"/>
      <c r="C34" s="135"/>
      <c r="D34" s="56" t="s">
        <v>148</v>
      </c>
      <c r="E34" s="56" t="s">
        <v>149</v>
      </c>
      <c r="F34" s="132"/>
      <c r="G34" s="83" t="s">
        <v>75</v>
      </c>
      <c r="H34" s="49" t="s">
        <v>76</v>
      </c>
      <c r="I34" s="49"/>
      <c r="J34" s="138"/>
    </row>
    <row r="35" spans="2:10" ht="17.100000000000001" customHeight="1" x14ac:dyDescent="0.3">
      <c r="B35" s="132"/>
      <c r="C35" s="135"/>
      <c r="D35" s="60" t="s">
        <v>150</v>
      </c>
      <c r="E35" s="60" t="s">
        <v>151</v>
      </c>
      <c r="F35" s="132"/>
      <c r="G35" s="83" t="s">
        <v>85</v>
      </c>
      <c r="H35" s="49" t="s">
        <v>76</v>
      </c>
      <c r="I35" s="49" t="s">
        <v>110</v>
      </c>
      <c r="J35" s="138"/>
    </row>
    <row r="36" spans="2:10" ht="17.100000000000001" customHeight="1" thickBot="1" x14ac:dyDescent="0.35">
      <c r="B36" s="133"/>
      <c r="C36" s="136"/>
      <c r="D36" s="57" t="s">
        <v>112</v>
      </c>
      <c r="E36" s="57"/>
      <c r="F36" s="133"/>
      <c r="G36" s="84"/>
      <c r="H36" s="50"/>
      <c r="I36" s="50"/>
      <c r="J36" s="139"/>
    </row>
    <row r="37" spans="2:10" ht="17.100000000000001" customHeight="1" x14ac:dyDescent="0.3">
      <c r="B37" s="131">
        <v>8</v>
      </c>
      <c r="C37" s="134" t="s">
        <v>152</v>
      </c>
      <c r="D37" s="55" t="s">
        <v>153</v>
      </c>
      <c r="E37" s="61" t="s">
        <v>154</v>
      </c>
      <c r="F37" s="131" t="s">
        <v>155</v>
      </c>
      <c r="G37" s="82" t="s">
        <v>75</v>
      </c>
      <c r="H37" s="49" t="s">
        <v>81</v>
      </c>
      <c r="I37" s="48" t="s">
        <v>156</v>
      </c>
      <c r="J37" s="137" t="s">
        <v>204</v>
      </c>
    </row>
    <row r="38" spans="2:10" ht="17.100000000000001" customHeight="1" x14ac:dyDescent="0.3">
      <c r="B38" s="132"/>
      <c r="C38" s="135"/>
      <c r="D38" s="56" t="s">
        <v>157</v>
      </c>
      <c r="E38" s="62" t="s">
        <v>158</v>
      </c>
      <c r="F38" s="132"/>
      <c r="G38" s="83" t="s">
        <v>80</v>
      </c>
      <c r="H38" s="49" t="s">
        <v>81</v>
      </c>
      <c r="I38" s="49" t="s">
        <v>90</v>
      </c>
      <c r="J38" s="138"/>
    </row>
    <row r="39" spans="2:10" ht="17.100000000000001" customHeight="1" x14ac:dyDescent="0.3">
      <c r="B39" s="132"/>
      <c r="C39" s="135"/>
      <c r="D39" s="56" t="s">
        <v>159</v>
      </c>
      <c r="E39" s="63" t="s">
        <v>160</v>
      </c>
      <c r="F39" s="132"/>
      <c r="G39" s="83" t="s">
        <v>80</v>
      </c>
      <c r="H39" s="49" t="s">
        <v>81</v>
      </c>
      <c r="I39" s="49" t="s">
        <v>161</v>
      </c>
      <c r="J39" s="138"/>
    </row>
    <row r="40" spans="2:10" ht="17.100000000000001" customHeight="1" thickBot="1" x14ac:dyDescent="0.35">
      <c r="B40" s="133"/>
      <c r="C40" s="136"/>
      <c r="D40" s="57" t="s">
        <v>162</v>
      </c>
      <c r="E40" s="64" t="s">
        <v>163</v>
      </c>
      <c r="F40" s="133"/>
      <c r="G40" s="84" t="s">
        <v>80</v>
      </c>
      <c r="H40" s="49" t="s">
        <v>76</v>
      </c>
      <c r="I40" s="50" t="s">
        <v>164</v>
      </c>
      <c r="J40" s="139"/>
    </row>
    <row r="41" spans="2:10" ht="17.100000000000001" customHeight="1" x14ac:dyDescent="0.3">
      <c r="B41" s="131">
        <v>9</v>
      </c>
      <c r="C41" s="134" t="s">
        <v>165</v>
      </c>
      <c r="D41" s="55" t="s">
        <v>166</v>
      </c>
      <c r="E41" s="62" t="s">
        <v>167</v>
      </c>
      <c r="F41" s="131" t="s">
        <v>168</v>
      </c>
      <c r="G41" s="83" t="s">
        <v>85</v>
      </c>
      <c r="H41" s="48" t="s">
        <v>76</v>
      </c>
      <c r="I41" s="48" t="s">
        <v>169</v>
      </c>
      <c r="J41" s="45"/>
    </row>
    <row r="42" spans="2:10" ht="17.100000000000001" customHeight="1" x14ac:dyDescent="0.3">
      <c r="B42" s="132"/>
      <c r="C42" s="135"/>
      <c r="D42" s="56" t="s">
        <v>170</v>
      </c>
      <c r="E42" s="63" t="s">
        <v>171</v>
      </c>
      <c r="F42" s="132"/>
      <c r="G42" s="83" t="s">
        <v>75</v>
      </c>
      <c r="H42" s="49" t="s">
        <v>81</v>
      </c>
      <c r="I42" s="49" t="s">
        <v>172</v>
      </c>
      <c r="J42" s="46"/>
    </row>
    <row r="43" spans="2:10" ht="17.100000000000001" customHeight="1" x14ac:dyDescent="0.3">
      <c r="B43" s="132"/>
      <c r="C43" s="135"/>
      <c r="D43" s="56" t="s">
        <v>173</v>
      </c>
      <c r="E43" s="63" t="s">
        <v>174</v>
      </c>
      <c r="F43" s="132"/>
      <c r="G43" s="83" t="s">
        <v>80</v>
      </c>
      <c r="H43" s="49" t="s">
        <v>81</v>
      </c>
      <c r="I43" s="49" t="s">
        <v>175</v>
      </c>
      <c r="J43" s="46"/>
    </row>
    <row r="44" spans="2:10" ht="17.100000000000001" customHeight="1" thickBot="1" x14ac:dyDescent="0.35">
      <c r="B44" s="132"/>
      <c r="C44" s="135"/>
      <c r="D44" s="56" t="s">
        <v>176</v>
      </c>
      <c r="E44" s="62" t="s">
        <v>177</v>
      </c>
      <c r="F44" s="133"/>
      <c r="G44" s="83" t="s">
        <v>75</v>
      </c>
      <c r="H44" s="49" t="s">
        <v>81</v>
      </c>
      <c r="I44" s="49" t="s">
        <v>178</v>
      </c>
      <c r="J44" s="46"/>
    </row>
    <row r="45" spans="2:10" ht="17.100000000000001" customHeight="1" x14ac:dyDescent="0.3">
      <c r="B45" s="131">
        <v>10</v>
      </c>
      <c r="C45" s="134" t="s">
        <v>179</v>
      </c>
      <c r="D45" s="55" t="s">
        <v>180</v>
      </c>
      <c r="E45" s="61" t="s">
        <v>181</v>
      </c>
      <c r="F45" s="128" t="s">
        <v>182</v>
      </c>
      <c r="G45" s="78" t="s">
        <v>75</v>
      </c>
      <c r="H45" s="21"/>
      <c r="I45" s="48" t="s">
        <v>90</v>
      </c>
      <c r="J45" s="137" t="s">
        <v>206</v>
      </c>
    </row>
    <row r="46" spans="2:10" ht="17.100000000000001" customHeight="1" x14ac:dyDescent="0.3">
      <c r="B46" s="132"/>
      <c r="C46" s="135"/>
      <c r="D46" s="56" t="s">
        <v>183</v>
      </c>
      <c r="E46" s="56" t="s">
        <v>184</v>
      </c>
      <c r="F46" s="129"/>
      <c r="G46" s="79" t="s">
        <v>75</v>
      </c>
      <c r="H46" s="18" t="s">
        <v>81</v>
      </c>
      <c r="I46" s="49" t="s">
        <v>185</v>
      </c>
      <c r="J46" s="138"/>
    </row>
    <row r="47" spans="2:10" ht="17.100000000000001" customHeight="1" x14ac:dyDescent="0.3">
      <c r="B47" s="132"/>
      <c r="C47" s="135"/>
      <c r="D47" s="56" t="s">
        <v>186</v>
      </c>
      <c r="E47" t="s">
        <v>187</v>
      </c>
      <c r="F47" s="129"/>
      <c r="G47" s="83" t="s">
        <v>80</v>
      </c>
      <c r="H47" s="18"/>
      <c r="I47" s="49"/>
      <c r="J47" s="138"/>
    </row>
    <row r="48" spans="2:10" ht="17.100000000000001" customHeight="1" x14ac:dyDescent="0.3">
      <c r="B48" s="132"/>
      <c r="C48" s="135"/>
      <c r="D48" s="56" t="s">
        <v>188</v>
      </c>
      <c r="E48" t="s">
        <v>189</v>
      </c>
      <c r="F48" s="129"/>
      <c r="G48" s="83" t="s">
        <v>75</v>
      </c>
      <c r="H48" s="18" t="s">
        <v>76</v>
      </c>
      <c r="I48" s="49"/>
      <c r="J48" s="138"/>
    </row>
    <row r="49" spans="2:10" ht="17.100000000000001" customHeight="1" x14ac:dyDescent="0.3">
      <c r="B49" s="132"/>
      <c r="C49" s="135"/>
      <c r="D49" s="58" t="s">
        <v>190</v>
      </c>
      <c r="E49" s="69"/>
      <c r="F49" s="129"/>
      <c r="G49" s="83"/>
      <c r="H49" s="18" t="s">
        <v>81</v>
      </c>
      <c r="I49" s="49" t="s">
        <v>82</v>
      </c>
      <c r="J49" s="138"/>
    </row>
    <row r="50" spans="2:10" ht="17.100000000000001" customHeight="1" thickBot="1" x14ac:dyDescent="0.35">
      <c r="B50" s="133"/>
      <c r="C50" s="136"/>
      <c r="D50" s="57" t="s">
        <v>112</v>
      </c>
      <c r="E50" s="47"/>
      <c r="F50" s="130"/>
      <c r="G50" s="84"/>
      <c r="H50" s="20" t="s">
        <v>81</v>
      </c>
      <c r="I50" s="50"/>
      <c r="J50" s="139"/>
    </row>
    <row r="52" spans="2:10" ht="17.100000000000001" customHeight="1" x14ac:dyDescent="0.3">
      <c r="C52" t="s">
        <v>193</v>
      </c>
      <c r="D52" t="s">
        <v>194</v>
      </c>
      <c r="G52" s="74" t="s">
        <v>195</v>
      </c>
    </row>
  </sheetData>
  <mergeCells count="35">
    <mergeCell ref="J45:J50"/>
    <mergeCell ref="J3:J7"/>
    <mergeCell ref="J22:J27"/>
    <mergeCell ref="J33:J36"/>
    <mergeCell ref="J37:J40"/>
    <mergeCell ref="F3:F7"/>
    <mergeCell ref="F8:F11"/>
    <mergeCell ref="F12:F17"/>
    <mergeCell ref="B45:B50"/>
    <mergeCell ref="C45:C50"/>
    <mergeCell ref="B18:B21"/>
    <mergeCell ref="C18:C21"/>
    <mergeCell ref="B22:B27"/>
    <mergeCell ref="C22:C27"/>
    <mergeCell ref="B28:B32"/>
    <mergeCell ref="C28:C32"/>
    <mergeCell ref="B3:B7"/>
    <mergeCell ref="C3:C7"/>
    <mergeCell ref="B8:B11"/>
    <mergeCell ref="C8:C11"/>
    <mergeCell ref="B12:B17"/>
    <mergeCell ref="B33:B36"/>
    <mergeCell ref="C33:C36"/>
    <mergeCell ref="B37:B40"/>
    <mergeCell ref="C37:C40"/>
    <mergeCell ref="B41:B44"/>
    <mergeCell ref="C41:C44"/>
    <mergeCell ref="F45:F50"/>
    <mergeCell ref="F41:F44"/>
    <mergeCell ref="C12:C17"/>
    <mergeCell ref="F22:F27"/>
    <mergeCell ref="F33:F36"/>
    <mergeCell ref="F37:F40"/>
    <mergeCell ref="F18:F21"/>
    <mergeCell ref="F28:F32"/>
  </mergeCells>
  <conditionalFormatting sqref="G3:G50">
    <cfRule type="cellIs" dxfId="5" priority="1" operator="equal">
      <formula>"Rejected"</formula>
    </cfRule>
  </conditionalFormatting>
  <conditionalFormatting sqref="I8">
    <cfRule type="cellIs" dxfId="4" priority="6" operator="equal">
      <formula>"Invite sent"</formula>
    </cfRule>
  </conditionalFormatting>
  <conditionalFormatting sqref="G54:G1048576 G3:G52">
    <cfRule type="cellIs" dxfId="3" priority="7" operator="equal">
      <formula>"Invite sent"</formula>
    </cfRule>
    <cfRule type="cellIs" dxfId="2" priority="8" operator="equal">
      <formula>"Confirmed"</formula>
    </cfRule>
    <cfRule type="cellIs" dxfId="1" priority="9" operator="equal">
      <formula>"Yet to ask"</formula>
    </cfRule>
    <cfRule type="top10" dxfId="0" priority="10" rank="10"/>
  </conditionalFormatting>
  <hyperlinks>
    <hyperlink ref="E3" r:id="rId1" xr:uid="{5BC4ED30-7B65-44A5-AA14-6D5903F25E04}"/>
    <hyperlink ref="E4" r:id="rId2" xr:uid="{D8582172-9945-476C-B406-BA7449E4577D}"/>
    <hyperlink ref="E15" r:id="rId3" xr:uid="{5512174C-2E2E-427B-B0F5-7936ECE26379}"/>
    <hyperlink ref="E12" r:id="rId4" xr:uid="{779042EC-657E-4CC1-841A-F66AC0065D4C}"/>
    <hyperlink ref="E14" r:id="rId5" xr:uid="{F4A5EA98-E246-4C24-B459-5BE51128FE01}"/>
    <hyperlink ref="E16" r:id="rId6" xr:uid="{14420E0E-801E-4ED2-B097-71242145D384}"/>
    <hyperlink ref="E19" r:id="rId7" xr:uid="{801C5EB0-5B35-405B-8229-CD8A693E941C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Day 1 (4th June)</vt:lpstr>
      <vt:lpstr>Day 2 (5th June)</vt:lpstr>
      <vt:lpstr>Day 3 (6th June)</vt:lpstr>
      <vt:lpstr>PanelSessions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Anmol Somanchi</dc:creator>
  <cp:keywords/>
  <dc:description/>
  <cp:lastModifiedBy>Alice Fauvel</cp:lastModifiedBy>
  <cp:revision/>
  <dcterms:created xsi:type="dcterms:W3CDTF">2025-12-03T13:24:19Z</dcterms:created>
  <dcterms:modified xsi:type="dcterms:W3CDTF">2026-03-03T15:06:02Z</dcterms:modified>
  <cp:category/>
  <cp:contentStatus/>
</cp:coreProperties>
</file>